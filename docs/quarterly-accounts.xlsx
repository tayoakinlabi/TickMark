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Invoices" sheetId="1" state="visible" r:id="rId1"/>
    <sheet name="Summary" sheetId="2" state="visible" r:id="rId2"/>
    <sheet name="Rates" sheetId="3" state="hidden" r:id="rId3"/>
  </sheets>
  <definedNames>
    <definedName name="VatRate">Rates!$B$1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Net</t>
        </is>
      </c>
      <c r="C1" t="inlineStr">
        <is>
          <t>VAT</t>
        </is>
      </c>
      <c r="D1" t="inlineStr">
        <is>
          <t>Gross</t>
        </is>
      </c>
    </row>
    <row r="2">
      <c r="A2" t="inlineStr">
        <is>
          <t>Client 01</t>
        </is>
      </c>
      <c r="B2" t="n">
        <v>1450</v>
      </c>
      <c r="C2">
        <f>B2*0.2</f>
        <v>290</v>
        <v/>
      </c>
      <c r="D2">
        <f>B2+C2</f>
        <v>1740</v>
        <v/>
      </c>
    </row>
    <row r="3">
      <c r="A3" t="inlineStr">
        <is>
          <t>Client 02</t>
        </is>
      </c>
      <c r="B3" t="n">
        <v>2300</v>
      </c>
      <c r="C3">
        <f>B3*0.2</f>
        <v>460</v>
        <v/>
      </c>
      <c r="D3">
        <f>B3+C3</f>
        <v>2760</v>
        <v/>
      </c>
    </row>
    <row r="4">
      <c r="A4" t="inlineStr">
        <is>
          <t>Client 03</t>
        </is>
      </c>
      <c r="B4" t="n">
        <v>875</v>
      </c>
      <c r="C4">
        <f>B4*0.2</f>
        <v>175</v>
        <v/>
      </c>
      <c r="D4">
        <f>B4+C4</f>
        <v>1050</v>
        <v/>
      </c>
    </row>
    <row r="5">
      <c r="A5" t="inlineStr">
        <is>
          <t>Client 04</t>
        </is>
      </c>
      <c r="B5" t="n">
        <v>4100</v>
      </c>
      <c r="C5">
        <f>B5*0.2</f>
        <v>820</v>
        <v/>
      </c>
      <c r="D5">
        <f>B5+C5</f>
        <v>4920</v>
        <v/>
      </c>
    </row>
    <row r="6">
      <c r="A6" t="inlineStr">
        <is>
          <t>Client 05</t>
        </is>
      </c>
      <c r="B6" t="n">
        <v>1290</v>
      </c>
      <c r="C6">
        <f>B6*0.2</f>
        <v>258</v>
        <v/>
      </c>
      <c r="D6">
        <f>B6+C6</f>
        <v>1548</v>
        <v/>
      </c>
    </row>
    <row r="7">
      <c r="A7" t="inlineStr">
        <is>
          <t>Client 06</t>
        </is>
      </c>
      <c r="B7" t="n">
        <v>3675</v>
      </c>
      <c r="C7">
        <f>B7*0.2</f>
        <v>735</v>
        <v/>
      </c>
      <c r="D7">
        <f>B7+C7</f>
        <v>4410</v>
        <v/>
      </c>
    </row>
    <row r="8">
      <c r="A8" t="inlineStr">
        <is>
          <t>Client 07</t>
        </is>
      </c>
      <c r="B8" t="n">
        <v>950</v>
      </c>
      <c r="C8">
        <f>B8*0.2</f>
        <v>190</v>
        <v/>
      </c>
      <c r="D8">
        <f>B8+C8</f>
        <v>1140</v>
        <v/>
      </c>
    </row>
    <row r="9">
      <c r="A9" t="inlineStr">
        <is>
          <t>Client 08</t>
        </is>
      </c>
      <c r="B9" t="n">
        <v>2480</v>
      </c>
      <c r="C9" t="n">
        <v>246</v>
      </c>
      <c r="D9">
        <f>B9+C9</f>
        <v>2726</v>
        <v/>
      </c>
    </row>
    <row r="10">
      <c r="A10" t="inlineStr">
        <is>
          <t>Client 09</t>
        </is>
      </c>
      <c r="B10" t="n">
        <v>1130</v>
      </c>
      <c r="C10">
        <f>B10*0.2</f>
        <v>226</v>
        <v/>
      </c>
      <c r="D10">
        <f>B10+C10</f>
        <v>1356</v>
        <v/>
      </c>
    </row>
    <row r="11">
      <c r="A11" t="inlineStr">
        <is>
          <t>Client 10</t>
        </is>
      </c>
      <c r="B11" t="n">
        <v>5200</v>
      </c>
      <c r="C11">
        <f>B11*0.2</f>
        <v>1040</v>
        <v/>
      </c>
      <c r="D11">
        <f>B11+C11</f>
        <v>6240</v>
        <v/>
      </c>
    </row>
    <row r="12">
      <c r="A12" t="inlineStr">
        <is>
          <t>Client 11</t>
        </is>
      </c>
      <c r="B12" t="n">
        <v>780</v>
      </c>
      <c r="C12">
        <f>B12*0.2</f>
        <v>156</v>
        <v/>
      </c>
      <c r="D12">
        <f>B12+C12</f>
        <v>936</v>
        <v/>
      </c>
    </row>
    <row r="13">
      <c r="A13" t="inlineStr">
        <is>
          <t>Client 12</t>
        </is>
      </c>
      <c r="B13" t="n">
        <v>3340</v>
      </c>
      <c r="C13">
        <f>B13*0.2</f>
        <v>668</v>
        <v/>
      </c>
      <c r="D13">
        <f>B13+C13</f>
        <v>4008</v>
        <v/>
      </c>
    </row>
    <row r="14">
      <c r="A14" t="inlineStr">
        <is>
          <t>Client 13</t>
        </is>
      </c>
      <c r="B14" t="n">
        <v>1615</v>
      </c>
      <c r="C14">
        <f>B14*0.2</f>
        <v>323</v>
        <v/>
      </c>
      <c r="D14">
        <f>B14+C14</f>
        <v>1938</v>
        <v/>
      </c>
    </row>
    <row r="15">
      <c r="A15" t="inlineStr">
        <is>
          <t>Client 14</t>
        </is>
      </c>
      <c r="B15" t="n">
        <v>2090</v>
      </c>
      <c r="C15">
        <f>B15*0.2</f>
        <v>418</v>
        <v/>
      </c>
      <c r="D15">
        <f>B15+C15</f>
        <v>2508</v>
        <v/>
      </c>
    </row>
    <row r="16">
      <c r="A16" t="inlineStr">
        <is>
          <t>Client 15</t>
        </is>
      </c>
      <c r="B16" t="n">
        <v>940</v>
      </c>
      <c r="C16">
        <f>B16*0.2</f>
        <v>188</v>
        <v/>
      </c>
      <c r="D16">
        <f>B16+C16</f>
        <v>1128</v>
        <v/>
      </c>
    </row>
    <row r="18">
      <c r="A18" t="inlineStr">
        <is>
          <t>Total</t>
        </is>
      </c>
      <c r="B18">
        <f>SUM(B2:B14)</f>
        <v>29185</v>
        <v/>
      </c>
      <c r="C18">
        <f>SUM(C2:C16)</f>
        <v>6193</v>
        <v/>
      </c>
      <c r="D18">
        <f>SUM(D2:D16)</f>
        <v>38408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summary</t>
        </is>
      </c>
    </row>
    <row r="2">
      <c r="A2" t="inlineStr">
        <is>
          <t>Prepared</t>
        </is>
      </c>
      <c r="B2">
        <f>TODAY()</f>
        <v/>
      </c>
    </row>
    <row r="4">
      <c r="A4" t="inlineStr">
        <is>
          <t>Net</t>
        </is>
      </c>
      <c r="B4">
        <f>'Q3 Invoices'!B18</f>
        <v>29185</v>
        <v/>
      </c>
    </row>
    <row r="5">
      <c r="A5" t="inlineStr">
        <is>
          <t>VAT</t>
        </is>
      </c>
      <c r="B5">
        <f>'Q3 Invoices'!C18</f>
        <v>6193</v>
        <v/>
      </c>
    </row>
    <row r="6">
      <c r="A6" t="inlineStr">
        <is>
          <t>Gross</t>
        </is>
      </c>
      <c r="B6">
        <f>B4+B5</f>
        <v>33538</v>
        <v/>
      </c>
    </row>
    <row r="8">
      <c r="A8" t="inlineStr">
        <is>
          <t>By region</t>
        </is>
      </c>
    </row>
    <row r="9">
      <c r="A9" t="inlineStr">
        <is>
          <t>North</t>
        </is>
      </c>
      <c r="B9" t="n">
        <v>12400</v>
      </c>
    </row>
    <row r="10">
      <c r="A10" t="inlineStr">
        <is>
          <t>South</t>
        </is>
      </c>
      <c r="B10" t="n">
        <v>15850</v>
      </c>
    </row>
    <row r="11">
      <c r="A11" t="inlineStr">
        <is>
          <t>North + South</t>
        </is>
      </c>
      <c r="B11">
        <f>SUM(B9:B10)</f>
        <v>28250</v>
        <v/>
      </c>
    </row>
    <row r="12">
      <c r="A12" t="inlineStr">
        <is>
          <t>Export</t>
        </is>
      </c>
      <c r="B12" t="n">
        <v>9300</v>
      </c>
    </row>
    <row r="13">
      <c r="A13" t="inlineStr">
        <is>
          <t>All regions</t>
        </is>
      </c>
      <c r="B13">
        <f>SUM(B9:B12)</f>
        <v>65800</v>
        <v/>
      </c>
    </row>
    <row r="15">
      <c r="A15" t="inlineStr">
        <is>
          <t>Commission</t>
        </is>
      </c>
      <c r="B15">
        <f>IF(B4&gt;75000,MIN(B4*0.075,12000),IF(B4&gt;50000,MIN(B4*0.06,9000),IF(B4&gt;25000,MIN(B4*0.045,6000),IF(B4&gt;10000,MIN(B4*0.035,3000),IF(B4&gt;0,B4*0.02,0)))))</f>
        <v/>
      </c>
    </row>
    <row r="17">
      <c r="A17" t="inlineStr">
        <is>
          <t>Last year</t>
        </is>
      </c>
      <c r="B17">
        <f>'[FY2024 Accounts.xlsx]Summary'!B6</f>
        <v/>
      </c>
    </row>
    <row r="19">
      <c r="A19" t="inlineStr">
        <is>
          <t>Variance</t>
        </is>
      </c>
      <c r="B19">
        <f>B6-#REF!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n">
        <v>0.2</v>
      </c>
    </row>
    <row r="2">
      <c r="A2" t="inlineStr">
        <is>
          <t>Commission (standard)</t>
        </is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2026-09-15T11:58:10Z</dcterms:created>
  <dcterms:modified xsi:type="dcterms:W3CDTF">2026-09-15T11:58:10Z</dcterms:modified>
</cp:coreProperties>
</file>