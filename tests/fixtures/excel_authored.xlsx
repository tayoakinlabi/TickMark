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AppData\Local\Temp\claude\c--Users-victo-Documents-Office-based-software\1bbd1ed2-2583-4e10-93a1-b322ebb45983\scratchpad\"/>
    </mc:Choice>
  </mc:AlternateContent>
  <xr:revisionPtr revIDLastSave="0" documentId="8_{A1A86E40-CAD7-4D4D-A003-062FB521425A}" xr6:coauthVersionLast="47" xr6:coauthVersionMax="47" xr10:uidLastSave="{00000000-0000-0000-0000-000000000000}"/>
  <bookViews>
    <workbookView xWindow="-110" yWindow="-110" windowWidth="19420" windowHeight="11500" firstSheet="1" activeTab="1" xr2:uid="{A5B5C620-0220-423B-950B-A9E363699E14}"/>
  </bookViews>
  <sheets>
    <sheet name="Hidden Rates" sheetId="2" state="hidden" r:id="rId1"/>
    <sheet name="Broken" sheetId="3" r:id="rId2"/>
    <sheet name="Invoic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" i="3" l="1"/>
  <c r="B1" i="3"/>
  <c r="B2" i="2"/>
  <c r="E2" i="1"/>
  <c r="E1" i="1"/>
  <c r="C23" i="1"/>
  <c r="B23" i="1"/>
  <c r="C3" i="1"/>
  <c r="C4" i="1"/>
  <c r="C5" i="1"/>
  <c r="C6" i="1"/>
  <c r="C7" i="1"/>
  <c r="C8" i="1"/>
  <c r="C9" i="1"/>
  <c r="C10" i="1"/>
  <c r="C12" i="1"/>
  <c r="C13" i="1"/>
  <c r="C14" i="1"/>
  <c r="C15" i="1"/>
  <c r="C16" i="1"/>
  <c r="C17" i="1"/>
  <c r="C18" i="1"/>
  <c r="C19" i="1"/>
  <c r="C20" i="1"/>
  <c r="C21" i="1"/>
  <c r="C2" i="1"/>
</calcChain>
</file>

<file path=xl/sharedStrings.xml><?xml version="1.0" encoding="utf-8"?>
<sst xmlns="http://schemas.openxmlformats.org/spreadsheetml/2006/main" count="24" uniqueCount="24">
  <si>
    <t>Item</t>
  </si>
  <si>
    <t>Net</t>
  </si>
  <si>
    <t>VAT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</si>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</sst>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6898-937B-411C-81E4-568CF05A803D}">
  <dimension ref="A1:B2"/>
  <sheetViews>
    <sheetView workbookViewId="0"/>
  </sheetViews>
  <sheetFormatPr defaultRowHeight="14.5" x14ac:dyDescent="0.35"/>
  <sheetData>
    <row r="1" spans="1:2" x14ac:dyDescent="0.35">
      <c r="A1" t="s">
        <v>23</v>
      </c>
      <c r="B1">
        <v>7.4999999999999997E-2</v>
      </c>
    </row>
    <row r="2" spans="1:2" x14ac:dyDescent="0.35">
      <c r="B2">
        <f>Invoices!C2+B1</f>
        <v>21.574999999999999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FBF2-A872-46A8-AC48-D788E9AB789E}">
  <dimension ref="A1:C1"/>
  <sheetViews>
    <sheetView tabSelected="1" workbookViewId="0"/>
  </sheetViews>
  <sheetFormatPr defaultRowHeight="14.5" x14ac:dyDescent="0.35"/>
  <sheetData>
    <row r="1" spans="1:3" x14ac:dyDescent="0.35">
      <c r="A1">
        <v>6</v>
      </c>
      <c r="B1" t="e">
        <f>#REF!+A1</f>
        <v>#REF!</v>
      </c>
      <c r="C1" t="e">
        <f>1/0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68A3D-F2E8-43F3-8612-0188661276B3}">
  <dimension ref="A1:E23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E1" s="1">
        <f ca="1">TODAY()</f>
        <v>46279</v>
      </c>
    </row>
    <row r="2" spans="1:5" x14ac:dyDescent="0.35">
      <c r="A2" t="s">
        <v>3</v>
      </c>
      <c r="B2">
        <v>20</v>
      </c>
      <c r="C2">
        <f>B2*1.075</f>
        <v>21.5</v>
      </c>
      <c r="E2">
        <f>IF(B2&gt;100,IF(B3&gt;50,ROUND(B2*1.2,2),B3),0)</f>
        <v>0</v>
      </c>
    </row>
    <row r="3" spans="1:5" x14ac:dyDescent="0.35">
      <c r="A3" t="s">
        <v>4</v>
      </c>
      <c r="B3">
        <v>30</v>
      </c>
      <c r="C3">
        <f t="shared" ref="C3:C21" si="0">B3*1.075</f>
        <v>32.25</v>
      </c>
    </row>
    <row r="4" spans="1:5" x14ac:dyDescent="0.35">
      <c r="A4" t="s">
        <v>5</v>
      </c>
      <c r="B4">
        <v>40</v>
      </c>
      <c r="C4">
        <f t="shared" si="0"/>
        <v>43</v>
      </c>
    </row>
    <row r="5" spans="1:5" x14ac:dyDescent="0.35">
      <c r="A5" t="s">
        <v>6</v>
      </c>
      <c r="B5">
        <v>50</v>
      </c>
      <c r="C5">
        <f t="shared" si="0"/>
        <v>53.75</v>
      </c>
    </row>
    <row r="6" spans="1:5" x14ac:dyDescent="0.35">
      <c r="A6" t="s">
        <v>7</v>
      </c>
      <c r="B6">
        <v>60</v>
      </c>
      <c r="C6">
        <f t="shared" si="0"/>
        <v>64.5</v>
      </c>
    </row>
    <row r="7" spans="1:5" x14ac:dyDescent="0.35">
      <c r="A7" t="s">
        <v>8</v>
      </c>
      <c r="B7">
        <v>70</v>
      </c>
      <c r="C7">
        <f t="shared" si="0"/>
        <v>75.25</v>
      </c>
    </row>
    <row r="8" spans="1:5" x14ac:dyDescent="0.35">
      <c r="A8" t="s">
        <v>9</v>
      </c>
      <c r="B8">
        <v>80</v>
      </c>
      <c r="C8">
        <f t="shared" si="0"/>
        <v>86</v>
      </c>
    </row>
    <row r="9" spans="1:5" x14ac:dyDescent="0.35">
      <c r="A9" t="s">
        <v>10</v>
      </c>
      <c r="B9">
        <v>90</v>
      </c>
      <c r="C9">
        <f t="shared" si="0"/>
        <v>96.75</v>
      </c>
    </row>
    <row r="10" spans="1:5" x14ac:dyDescent="0.35">
      <c r="A10" t="s">
        <v>11</v>
      </c>
      <c r="B10">
        <v>100</v>
      </c>
      <c r="C10">
        <f t="shared" si="0"/>
        <v>107.5</v>
      </c>
    </row>
    <row r="11" spans="1:5" x14ac:dyDescent="0.35">
      <c r="A11" t="s">
        <v>12</v>
      </c>
      <c r="B11">
        <v>110</v>
      </c>
      <c r="C11">
        <v>999</v>
      </c>
    </row>
    <row r="12" spans="1:5" x14ac:dyDescent="0.35">
      <c r="A12" t="s">
        <v>13</v>
      </c>
      <c r="B12">
        <v>120</v>
      </c>
      <c r="C12">
        <f t="shared" si="0"/>
        <v>129</v>
      </c>
    </row>
    <row r="13" spans="1:5" x14ac:dyDescent="0.35">
      <c r="A13" t="s">
        <v>14</v>
      </c>
      <c r="B13">
        <v>130</v>
      </c>
      <c r="C13">
        <f t="shared" si="0"/>
        <v>139.75</v>
      </c>
    </row>
    <row r="14" spans="1:5" x14ac:dyDescent="0.35">
      <c r="A14" t="s">
        <v>15</v>
      </c>
      <c r="B14">
        <v>140</v>
      </c>
      <c r="C14">
        <f t="shared" si="0"/>
        <v>150.5</v>
      </c>
    </row>
    <row r="15" spans="1:5" x14ac:dyDescent="0.35">
      <c r="A15" t="s">
        <v>16</v>
      </c>
      <c r="B15">
        <v>150</v>
      </c>
      <c r="C15">
        <f t="shared" si="0"/>
        <v>161.25</v>
      </c>
    </row>
    <row r="16" spans="1:5" x14ac:dyDescent="0.35">
      <c r="A16" t="s">
        <v>17</v>
      </c>
      <c r="B16">
        <v>160</v>
      </c>
      <c r="C16">
        <f t="shared" si="0"/>
        <v>172</v>
      </c>
    </row>
    <row r="17" spans="1:3" x14ac:dyDescent="0.35">
      <c r="A17" t="s">
        <v>18</v>
      </c>
      <c r="B17">
        <v>170</v>
      </c>
      <c r="C17">
        <f t="shared" si="0"/>
        <v>182.75</v>
      </c>
    </row>
    <row r="18" spans="1:3" x14ac:dyDescent="0.35">
      <c r="A18" t="s">
        <v>19</v>
      </c>
      <c r="B18">
        <v>180</v>
      </c>
      <c r="C18">
        <f t="shared" si="0"/>
        <v>193.5</v>
      </c>
    </row>
    <row r="19" spans="1:3" x14ac:dyDescent="0.35">
      <c r="A19" t="s">
        <v>20</v>
      </c>
      <c r="B19">
        <v>190</v>
      </c>
      <c r="C19">
        <f t="shared" si="0"/>
        <v>204.25</v>
      </c>
    </row>
    <row r="20" spans="1:3" x14ac:dyDescent="0.35">
      <c r="A20" t="s">
        <v>21</v>
      </c>
      <c r="B20">
        <v>200</v>
      </c>
      <c r="C20">
        <f t="shared" si="0"/>
        <v>215</v>
      </c>
    </row>
    <row r="21" spans="1:3" x14ac:dyDescent="0.35">
      <c r="A21" t="s">
        <v>22</v>
      </c>
      <c r="B21">
        <v>210</v>
      </c>
      <c r="C21">
        <f t="shared" si="0"/>
        <v>225.75</v>
      </c>
    </row>
    <row r="23" spans="1:3" x14ac:dyDescent="0.35">
      <c r="B23">
        <f>SUM(B2:B20)</f>
        <v>2090</v>
      </c>
      <c r="C23">
        <f>SUM(C2:C21)</f>
        <v>3353.25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Hidden Rates</vt:lpstr>
      <vt:lpstr>Broken</vt:lpstr>
      <vt:lpstr>Invoices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Adeyinka</dc:creator>
  <cp:lastModifiedBy>Victoria Adeyinka</cp:lastModifiedBy>
  <dcterms:created xsi:type="dcterms:W3CDTF">2026-09-15T01:36:27Z</dcterms:created>
  <dcterms:modified xsi:type="dcterms:W3CDTF">2026-09-15T01:36:28Z</dcterms:modified>
</cp:coreProperties>
</file>